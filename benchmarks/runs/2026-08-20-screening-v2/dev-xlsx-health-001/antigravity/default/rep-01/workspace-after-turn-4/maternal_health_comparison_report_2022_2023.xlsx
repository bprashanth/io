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C (48h) 2022 vs 2023" sheetId="1" state="visible" r:id="rId1"/>
    <sheet name="Inst Delivery 2022 vs 2023" sheetId="2" state="visible" r:id="rId2"/>
    <sheet name="Indicator &amp; Sour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20" customWidth="1" min="4" max="4"/>
    <col width="19" customWidth="1" min="5" max="5"/>
    <col width="17" customWidth="1" min="6" max="6"/>
    <col width="20" customWidth="1" min="7" max="7"/>
    <col width="14" customWidth="1" min="8" max="8"/>
    <col width="35" customWidth="1" min="9" max="9"/>
  </cols>
  <sheetData>
    <row r="1">
      <c r="A1" s="1" t="inlineStr">
        <is>
          <t>District</t>
        </is>
      </c>
      <c r="B1" s="1" t="inlineStr">
        <is>
          <t>2022 Pregnancies</t>
        </is>
      </c>
      <c r="C1" s="1" t="inlineStr">
        <is>
          <t>2022 PNC (48h)</t>
        </is>
      </c>
      <c r="D1" s="1" t="inlineStr">
        <is>
          <t>2022 Coverage (%)</t>
        </is>
      </c>
      <c r="E1" s="1" t="inlineStr">
        <is>
          <t>2023 Pregnancies</t>
        </is>
      </c>
      <c r="F1" s="1" t="inlineStr">
        <is>
          <t>2023 PNC (48h)</t>
        </is>
      </c>
      <c r="G1" s="1" t="inlineStr">
        <is>
          <t>2023 Coverage (%)</t>
        </is>
      </c>
      <c r="H1" s="1" t="inlineStr">
        <is>
          <t>Change (pp)</t>
        </is>
      </c>
      <c r="I1" s="1" t="inlineStr">
        <is>
          <t>Formula Applied</t>
        </is>
      </c>
    </row>
    <row r="2">
      <c r="A2" s="2" t="inlineStr">
        <is>
          <t>Gaya</t>
        </is>
      </c>
      <c r="B2" s="3" t="n">
        <v>1100</v>
      </c>
      <c r="C2" s="3" t="n">
        <v>693</v>
      </c>
      <c r="D2" s="3" t="n">
        <v>63</v>
      </c>
      <c r="E2" s="3" t="n">
        <v>1200</v>
      </c>
      <c r="F2" s="3" t="n">
        <v>816</v>
      </c>
      <c r="G2" s="3" t="n">
        <v>68</v>
      </c>
      <c r="H2" s="3" t="n">
        <v>5</v>
      </c>
      <c r="I2" s="2">
        <f>(816/1200)*100 - (693/1100)*100</f>
        <v/>
      </c>
    </row>
    <row r="3">
      <c r="A3" s="2" t="inlineStr">
        <is>
          <t>Nalanda</t>
        </is>
      </c>
      <c r="B3" s="3" t="n">
        <v>1000</v>
      </c>
      <c r="C3" s="3" t="n">
        <v>720</v>
      </c>
      <c r="D3" s="3" t="n">
        <v>72</v>
      </c>
      <c r="E3" s="3" t="n">
        <v>1100</v>
      </c>
      <c r="F3" s="3" t="n">
        <v>825</v>
      </c>
      <c r="G3" s="3" t="n">
        <v>75</v>
      </c>
      <c r="H3" s="3" t="n">
        <v>3</v>
      </c>
      <c r="I3" s="2">
        <f>(825/1100)*100 - (720/1000)*100</f>
        <v/>
      </c>
    </row>
    <row r="4">
      <c r="A4" s="2" t="inlineStr">
        <is>
          <t>Purnia</t>
        </is>
      </c>
      <c r="B4" s="3" t="n">
        <v>1300</v>
      </c>
      <c r="C4" s="3" t="n">
        <v>728</v>
      </c>
      <c r="D4" s="3" t="n">
        <v>56</v>
      </c>
      <c r="E4" s="3" t="n">
        <v>1400</v>
      </c>
      <c r="F4" s="3" t="n">
        <v>812</v>
      </c>
      <c r="G4" s="3" t="n">
        <v>58</v>
      </c>
      <c r="H4" s="3" t="n">
        <v>2</v>
      </c>
      <c r="I4" s="2">
        <f>(812/1400)*100 - (728/1300)*100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0" customWidth="1" min="4" max="4"/>
    <col width="19" customWidth="1" min="5" max="5"/>
    <col width="24" customWidth="1" min="6" max="6"/>
    <col width="20" customWidth="1" min="7" max="7"/>
    <col width="14" customWidth="1" min="8" max="8"/>
    <col width="35" customWidth="1" min="9" max="9"/>
  </cols>
  <sheetData>
    <row r="1">
      <c r="A1" s="1" t="inlineStr">
        <is>
          <t>District</t>
        </is>
      </c>
      <c r="B1" s="1" t="inlineStr">
        <is>
          <t>2022 Pregnancies</t>
        </is>
      </c>
      <c r="C1" s="1" t="inlineStr">
        <is>
          <t>2022 Inst. Deliveries</t>
        </is>
      </c>
      <c r="D1" s="1" t="inlineStr">
        <is>
          <t>2022 Coverage (%)</t>
        </is>
      </c>
      <c r="E1" s="1" t="inlineStr">
        <is>
          <t>2023 Pregnancies</t>
        </is>
      </c>
      <c r="F1" s="1" t="inlineStr">
        <is>
          <t>2023 Inst. Deliveries</t>
        </is>
      </c>
      <c r="G1" s="1" t="inlineStr">
        <is>
          <t>2023 Coverage (%)</t>
        </is>
      </c>
      <c r="H1" s="1" t="inlineStr">
        <is>
          <t>Change (pp)</t>
        </is>
      </c>
      <c r="I1" s="1" t="inlineStr">
        <is>
          <t>Formula Applied</t>
        </is>
      </c>
    </row>
    <row r="2">
      <c r="A2" s="2" t="inlineStr">
        <is>
          <t>Gaya</t>
        </is>
      </c>
      <c r="B2" s="3" t="n">
        <v>1100</v>
      </c>
      <c r="C2" s="3" t="n">
        <v>792</v>
      </c>
      <c r="D2" s="3" t="n">
        <v>72</v>
      </c>
      <c r="E2" s="3" t="n">
        <v>1200</v>
      </c>
      <c r="F2" s="3" t="n">
        <v>900</v>
      </c>
      <c r="G2" s="3" t="n">
        <v>75</v>
      </c>
      <c r="H2" s="3" t="n">
        <v>3</v>
      </c>
      <c r="I2" s="2">
        <f>(900/1200)*100 - (792/1100)*100</f>
        <v/>
      </c>
    </row>
    <row r="3">
      <c r="A3" s="2" t="inlineStr">
        <is>
          <t>Nalanda</t>
        </is>
      </c>
      <c r="B3" s="3" t="n">
        <v>1000</v>
      </c>
      <c r="C3" s="3" t="n">
        <v>780</v>
      </c>
      <c r="D3" s="3" t="n">
        <v>78</v>
      </c>
      <c r="E3" s="3" t="n">
        <v>1100</v>
      </c>
      <c r="F3" s="3" t="n">
        <v>880</v>
      </c>
      <c r="G3" s="3" t="n">
        <v>80</v>
      </c>
      <c r="H3" s="3" t="n">
        <v>2</v>
      </c>
      <c r="I3" s="2">
        <f>(880/1100)*100 - (780/1000)*100</f>
        <v/>
      </c>
    </row>
    <row r="4">
      <c r="A4" s="2" t="inlineStr">
        <is>
          <t>Purnia</t>
        </is>
      </c>
      <c r="B4" s="3" t="n">
        <v>1300</v>
      </c>
      <c r="C4" s="3" t="n">
        <v>819</v>
      </c>
      <c r="D4" s="3" t="n">
        <v>63</v>
      </c>
      <c r="E4" s="3" t="n">
        <v>1400</v>
      </c>
      <c r="F4" s="3" t="n">
        <v>924</v>
      </c>
      <c r="G4" s="3" t="n">
        <v>66</v>
      </c>
      <c r="H4" s="3" t="n">
        <v>3</v>
      </c>
      <c r="I4" s="2">
        <f>(924/1400)*100 - (819/1300)*100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3" customWidth="1" min="1" max="1"/>
    <col width="82" customWidth="1" min="2" max="2"/>
    <col width="58" customWidth="1" min="3" max="3"/>
    <col width="14" customWidth="1" min="4" max="4"/>
    <col width="34" customWidth="1" min="5" max="5"/>
    <col width="45" customWidth="1" min="6" max="6"/>
  </cols>
  <sheetData>
    <row r="1">
      <c r="A1" s="1" t="inlineStr">
        <is>
          <t>Indicator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Source Sheet</t>
        </is>
      </c>
      <c r="F1" s="1" t="inlineStr">
        <is>
          <t>Data Source</t>
        </is>
      </c>
    </row>
    <row r="2">
      <c r="A2" s="2" t="inlineStr">
        <is>
          <t>Postnatal check within 48 hours coverage</t>
        </is>
      </c>
      <c r="B2" s="2" t="inlineStr">
        <is>
          <t>Share of registered pregnancies with a recorded postnatal check within 48 hours</t>
        </is>
      </c>
      <c r="C2" s="2" t="inlineStr">
        <is>
          <t>postnatal_check_48h / pregnancies_registered * 100</t>
        </is>
      </c>
      <c r="D2" s="2" t="inlineStr">
        <is>
          <t>percent</t>
        </is>
      </c>
      <c r="E2" s="2" t="inlineStr">
        <is>
          <t>District Data &amp; Indicator Notes</t>
        </is>
      </c>
      <c r="F2" s="2" t="inlineStr">
        <is>
          <t>synthetic maternal-health workbook fixture</t>
        </is>
      </c>
    </row>
    <row r="3">
      <c r="A3" s="2" t="inlineStr">
        <is>
          <t>Institutional delivery coverage</t>
        </is>
      </c>
      <c r="B3" s="2" t="inlineStr">
        <is>
          <t>Share of registered pregnancies with an institutional delivery</t>
        </is>
      </c>
      <c r="C3" s="2" t="inlineStr">
        <is>
          <t>institutional_deliveries / pregnancies_registered * 100</t>
        </is>
      </c>
      <c r="D3" s="2" t="inlineStr">
        <is>
          <t>percent</t>
        </is>
      </c>
      <c r="E3" s="2" t="inlineStr">
        <is>
          <t>District Data &amp; Indicator Notes</t>
        </is>
      </c>
      <c r="F3" s="2" t="inlineStr">
        <is>
          <t>synthetic maternal-health workbook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2026-08-19T20:15:37Z</dcterms:created>
  <dcterms:modified xsi:type="dcterms:W3CDTF">2026-08-19T20:15:37Z</dcterms:modified>
</cp:coreProperties>
</file>